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by Region" sheetId="1" state="visible" r:id="rId3"/>
    <sheet name="Sales by Category" sheetId="2" state="visible" r:id="rId4"/>
    <sheet name="Orders by Ship Mode" sheetId="3" state="visible" r:id="rId5"/>
    <sheet name="Margin by Segment" sheetId="4" state="visible" r:id="rId6"/>
    <sheet name="Problem Orders by Region" sheetId="5" state="visible" r:id="rId7"/>
    <sheet name="Monthly Sales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<sst xmlns="http://schemas.openxmlformats.org/spreadsheetml/2006/main" count="112" uniqueCount="79">
  <si>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Sales &amp; Profit by Region</t>
  </si>
  <si>
    <t xml:space="preserve">Completed sales only. Sorted by total sales (descending).</t>
  </si>
  <si>
    <t xml:space="preserve">Region</t>
  </si>
  <si>
    <t xml:space="preserve">Orders</t>
  </si>
  <si>
    <t xml:space="preserve">Sales</t>
  </si>
  <si>
    <t xml:space="preserve">Profit</t>
  </si>
  <si>
    <t xml:space="preserve">Profit 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</si>
  <si>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</si>
  <si>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</si>
  <si>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</si>
  <si>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</si>
  <si>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</si>
  <si>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</si>
  <si>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Sales &amp; Profit by Category and Sub-Category</t>
  </si>
  <si>
    <t xml:space="preserve">Completed sales only. Sorted by category, then sales (descending).</t>
  </si>
  <si>
    <t xml:space="preserve">Category</t>
  </si>
  <si>
    <t xml:space="preserve">Sub-Category</t>
  </si>
  <si>
    <t xml:space="preserve">Furniture</t>
  </si>
  <si>
    <t xml:space="preserve">Chairs</t>
  </si>
  <si>
    <t xml:space="preserve">Furnishings</t>
  </si>
  <si>
    <t xml:space="preserve">Tables</t>
  </si>
  <si>
    <t xml:space="preserve">Bookcases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</si>
  <si>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</si>
  <si>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</si>
  <si>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</si>
  <si>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</si>
  <si>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</si>
  <si>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</si>
  <si>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</si>
  <si>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</si>
  <si>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</si>
  <si>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</si>
  <si>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</si>
  <si>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Order Count by Ship Mode</t>
  </si>
  <si>
    <t xml:space="preserve">All cleaned orders. Sorted by order count (descending).</t>
  </si>
  <si>
    <t xml:space="preserve">Ship Mode</t>
  </si>
  <si>
    <t xml:space="preserve">Order Count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</si>
  <si>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</si>
  <si>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</si>
  <si>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</si>
  <si>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</si>
  <si>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</t>
  </si>
  <si>
    <t xml:space="preserve">Completed sales only. Margin = total profit / total sales (live formula).</t>
  </si>
  <si>
    <t xml:space="preserve">Segment</t>
  </si>
  <si>
    <t xml:space="preserve">Small Business</t>
  </si>
  <si>
    <t xml:space="preserve">Home Office</t>
  </si>
  <si>
    <t xml:space="preserve">Consumer</t>
  </si>
  <si>
    <t xml:space="preserve">Corporate</t>
  </si>
  <si>
    <t xml:space="preserve">Refunded / Cancelled / Failed Orders by Region</t>
  </si>
  <si>
    <t xml:space="preserve">Filtered to non-completed records only. 'Total Issues' is a live formula.</t>
  </si>
  <si>
    <t xml:space="preserve">Refunded</t>
  </si>
  <si>
    <t xml:space="preserve">Cancelled</t>
  </si>
  <si>
    <t xml:space="preserve">Failed Payment</t>
  </si>
  <si>
    <t xml:space="preserve">Total Issues</t>
  </si>
  <si>
    <t xml:space="preserve">Monthly Sales Trend</t>
  </si>
  <si>
    <t xml:space="preserve">Completed sales only. Chronological order.</t>
  </si>
  <si>
    <t xml:space="preserve">Year-Month</t>
  </si>
  <si>
    <t xml:space="preserve">2024-Jan</t>
  </si>
  <si>
    <t xml:space="preserve">2024-Feb</t>
  </si>
  <si>
    <t xml:space="preserve">2024-Mar</t>
  </si>
  <si>
    <t xml:space="preserve">2024-Apr</t>
  </si>
  <si>
    <t xml:space="preserve">2024-May</t>
  </si>
  <si>
    <t xml:space="preserve">2024-Jun</t>
  </si>
  <si>
    <t xml:space="preserve">2024-Jul</t>
  </si>
  <si>
    <t xml:space="preserve">2024-Aug</t>
  </si>
  <si>
    <t xml:space="preserve">2024-Sep</t>
  </si>
  <si>
    <t xml:space="preserve">2024-Oct</t>
  </si>
  <si>
    <t xml:space="preserve">2024-Nov</t>
  </si>
  <si>
    <t xml:space="preserve">2024-Dec</t>
  </si>
  <si>
    <t xml:space="preserve">2025-Jan</t>
  </si>
  <si>
    <t xml:space="preserve">2025-Feb</t>
  </si>
  <si>
    <t xml:space="preserve">2025-Mar</t>
  </si>
  <si>
    <t xml:space="preserve">2025-Apr</t>
  </si>
  <si>
    <t xml:space="preserve">2025-May</t>
  </si>
  <si>
    <t xml:space="preserve">2025-Jun</t>
  </si>
  <si>
    <t xml:space="preserve">2025-Jul</t>
  </si>
  <si>
    <t xml:space="preserve">2025-Aug</t>
  </si>
  <si>
    <t xml:space="preserve">2025-Sep</t>
  </si>
  <si>
    <t xml:space="preserve">2025-Oct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</si>
</sst>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DDEBF7"/>
      </patternFill>
    </fill>
    <fill>
      <patternFill patternType="solid">
        <fgColor rgb="FFDDEBF7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153</v>
      </c>
      <c r="C5" s="7" t="n">
        <v>1578163.16</v>
      </c>
      <c r="D5" s="7" t="n">
        <v>404681.12</v>
      </c>
      <c r="E5" s="8" t="n">
        <f aca="false">IF(C5=0,0,D5/C5)</f>
        <v>0.256425400273569</v>
      </c>
    </row>
    <row r="6" customFormat="false" ht="15" hidden="false" customHeight="false" outlineLevel="0" collapsed="false">
      <c r="A6" s="9" t="s">
        <v>8</v>
      </c>
      <c r="B6" s="10" t="n">
        <v>153</v>
      </c>
      <c r="C6" s="11" t="n">
        <v>1502507.2</v>
      </c>
      <c r="D6" s="11" t="n">
        <v>433402.26</v>
      </c>
      <c r="E6" s="12" t="n">
        <f aca="false">IF(C6=0,0,D6/C6)</f>
        <v>0.288452700925493</v>
      </c>
    </row>
    <row r="7" customFormat="false" ht="15" hidden="false" customHeight="false" outlineLevel="0" collapsed="false">
      <c r="A7" s="5" t="s">
        <v>9</v>
      </c>
      <c r="B7" s="6" t="n">
        <v>149</v>
      </c>
      <c r="C7" s="7" t="n">
        <v>1381505.88</v>
      </c>
      <c r="D7" s="7" t="n">
        <v>414696.5</v>
      </c>
      <c r="E7" s="8" t="n">
        <f aca="false">IF(C7=0,0,D7/C7)</f>
        <v>0.300177151616611</v>
      </c>
    </row>
    <row r="8" customFormat="false" ht="15" hidden="false" customHeight="false" outlineLevel="0" collapsed="false">
      <c r="A8" s="9" t="s">
        <v>10</v>
      </c>
      <c r="B8" s="10" t="n">
        <v>128</v>
      </c>
      <c r="C8" s="11" t="n">
        <v>1278315.97</v>
      </c>
      <c r="D8" s="11" t="n">
        <v>374732.58</v>
      </c>
      <c r="E8" s="12" t="n">
        <f aca="false">IF(C8=0,0,D8/C8)</f>
        <v>0.293145504550021</v>
      </c>
    </row>
    <row r="9" customFormat="false" ht="15" hidden="false" customHeight="false" outlineLevel="0" collapsed="false">
      <c r="A9" s="5" t="s">
        <v>11</v>
      </c>
      <c r="B9" s="6" t="n">
        <v>19</v>
      </c>
      <c r="C9" s="7" t="n">
        <v>187898.46</v>
      </c>
      <c r="D9" s="7" t="n">
        <v>63943.19</v>
      </c>
      <c r="E9" s="8" t="n">
        <f aca="false">IF(C9=0,0,D9/C9)</f>
        <v>0.340307153129408</v>
      </c>
    </row>
    <row r="10" customFormat="false" ht="15" hidden="false" customHeight="false" outlineLevel="0" collapsed="false">
      <c r="A10" s="13" t="s">
        <v>12</v>
      </c>
      <c r="B10" s="14" t="n">
        <f aca="false">SUM(B5:B9)</f>
        <v>602</v>
      </c>
      <c r="C10" s="15" t="n">
        <f aca="false">SUM(C5:C9)</f>
        <v>5928390.67</v>
      </c>
      <c r="D10" s="15" t="n">
        <f aca="false">SUM(D5:D9)</f>
        <v>1691455.65</v>
      </c>
      <c r="E10" s="16" t="n">
        <f aca="false">IF(C10=0,0,D10/C10)</f>
        <v>0.285314471355512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16.15" hidden="false" customHeight="false" outlineLevel="0" collapsed="false">
      <c r="A1" s="2" t="s">
        <v>13</v>
      </c>
    </row>
    <row r="2" customFormat="false" ht="15" hidden="false" customHeight="false" outlineLevel="0" collapsed="false">
      <c r="A2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false" outlineLevel="0" collapsed="false">
      <c r="A5" s="5" t="s">
        <v>17</v>
      </c>
      <c r="B5" s="5" t="s">
        <v>18</v>
      </c>
      <c r="C5" s="6" t="n">
        <v>56</v>
      </c>
      <c r="D5" s="7" t="n">
        <v>583968.65</v>
      </c>
      <c r="E5" s="7" t="n">
        <v>175651.42</v>
      </c>
      <c r="F5" s="8" t="n">
        <f aca="false">IF(D5=0,0,E5/D5)</f>
        <v>0.300789126265597</v>
      </c>
    </row>
    <row r="6" customFormat="false" ht="15" hidden="false" customHeight="false" outlineLevel="0" collapsed="false">
      <c r="A6" s="9" t="s">
        <v>17</v>
      </c>
      <c r="B6" s="9" t="s">
        <v>19</v>
      </c>
      <c r="C6" s="10" t="n">
        <v>51</v>
      </c>
      <c r="D6" s="11" t="n">
        <v>503021.35</v>
      </c>
      <c r="E6" s="11" t="n">
        <v>146832.71</v>
      </c>
      <c r="F6" s="12" t="n">
        <f aca="false">IF(D6=0,0,E6/D6)</f>
        <v>0.291901546524815</v>
      </c>
    </row>
    <row r="7" customFormat="false" ht="15" hidden="false" customHeight="false" outlineLevel="0" collapsed="false">
      <c r="A7" s="5" t="s">
        <v>17</v>
      </c>
      <c r="B7" s="5" t="s">
        <v>20</v>
      </c>
      <c r="C7" s="6" t="n">
        <v>49</v>
      </c>
      <c r="D7" s="7" t="n">
        <v>420185.33</v>
      </c>
      <c r="E7" s="7" t="n">
        <v>127253.69</v>
      </c>
      <c r="F7" s="8" t="n">
        <f aca="false">IF(D7=0,0,E7/D7)</f>
        <v>0.302851339431579</v>
      </c>
    </row>
    <row r="8" customFormat="false" ht="15" hidden="false" customHeight="false" outlineLevel="0" collapsed="false">
      <c r="A8" s="9" t="s">
        <v>17</v>
      </c>
      <c r="B8" s="9" t="s">
        <v>21</v>
      </c>
      <c r="C8" s="10" t="n">
        <v>43</v>
      </c>
      <c r="D8" s="11" t="n">
        <v>414020.82</v>
      </c>
      <c r="E8" s="11" t="n">
        <v>109018.79</v>
      </c>
      <c r="F8" s="12" t="n">
        <f aca="false">IF(D8=0,0,E8/D8)</f>
        <v>0.26331716844578</v>
      </c>
    </row>
    <row r="9" customFormat="false" ht="15" hidden="false" customHeight="false" outlineLevel="0" collapsed="false">
      <c r="A9" s="5" t="s">
        <v>22</v>
      </c>
      <c r="B9" s="5" t="s">
        <v>23</v>
      </c>
      <c r="C9" s="6" t="n">
        <v>55</v>
      </c>
      <c r="D9" s="7" t="n">
        <v>543290.02</v>
      </c>
      <c r="E9" s="7" t="n">
        <v>135984.69</v>
      </c>
      <c r="F9" s="8" t="n">
        <f aca="false">IF(D9=0,0,E9/D9)</f>
        <v>0.250298523797658</v>
      </c>
    </row>
    <row r="10" customFormat="false" ht="15" hidden="false" customHeight="false" outlineLevel="0" collapsed="false">
      <c r="A10" s="9" t="s">
        <v>22</v>
      </c>
      <c r="B10" s="9" t="s">
        <v>24</v>
      </c>
      <c r="C10" s="10" t="n">
        <v>42</v>
      </c>
      <c r="D10" s="11" t="n">
        <v>447884.39</v>
      </c>
      <c r="E10" s="11" t="n">
        <v>123501.05</v>
      </c>
      <c r="F10" s="12" t="n">
        <f aca="false">IF(D10=0,0,E10/D10)</f>
        <v>0.275743144341333</v>
      </c>
    </row>
    <row r="11" customFormat="false" ht="15" hidden="false" customHeight="false" outlineLevel="0" collapsed="false">
      <c r="A11" s="5" t="s">
        <v>22</v>
      </c>
      <c r="B11" s="5" t="s">
        <v>25</v>
      </c>
      <c r="C11" s="6" t="n">
        <v>34</v>
      </c>
      <c r="D11" s="7" t="n">
        <v>342853.56</v>
      </c>
      <c r="E11" s="7" t="n">
        <v>109222.19</v>
      </c>
      <c r="F11" s="8" t="n">
        <f aca="false">IF(D11=0,0,E11/D11)</f>
        <v>0.318568049869455</v>
      </c>
    </row>
    <row r="12" customFormat="false" ht="15" hidden="false" customHeight="false" outlineLevel="0" collapsed="false">
      <c r="A12" s="9" t="s">
        <v>22</v>
      </c>
      <c r="B12" s="9" t="s">
        <v>26</v>
      </c>
      <c r="C12" s="10" t="n">
        <v>29</v>
      </c>
      <c r="D12" s="11" t="n">
        <v>300805.52</v>
      </c>
      <c r="E12" s="11" t="n">
        <v>80413.86</v>
      </c>
      <c r="F12" s="12" t="n">
        <f aca="false">IF(D12=0,0,E12/D12)</f>
        <v>0.267328405409582</v>
      </c>
    </row>
    <row r="13" customFormat="false" ht="15" hidden="false" customHeight="false" outlineLevel="0" collapsed="false">
      <c r="A13" s="5" t="s">
        <v>22</v>
      </c>
      <c r="B13" s="5" t="s">
        <v>27</v>
      </c>
      <c r="C13" s="6" t="n">
        <v>30</v>
      </c>
      <c r="D13" s="7" t="n">
        <v>209170.53</v>
      </c>
      <c r="E13" s="7" t="n">
        <v>65166.62</v>
      </c>
      <c r="F13" s="8" t="n">
        <f aca="false">IF(D13=0,0,E13/D13)</f>
        <v>0.311547807427748</v>
      </c>
    </row>
    <row r="14" customFormat="false" ht="15" hidden="false" customHeight="false" outlineLevel="0" collapsed="false">
      <c r="A14" s="9" t="s">
        <v>28</v>
      </c>
      <c r="B14" s="9" t="s">
        <v>29</v>
      </c>
      <c r="C14" s="10" t="n">
        <v>66</v>
      </c>
      <c r="D14" s="11" t="n">
        <v>668923.19</v>
      </c>
      <c r="E14" s="11" t="n">
        <v>192857.85</v>
      </c>
      <c r="F14" s="12" t="n">
        <f aca="false">IF(D14=0,0,E14/D14)</f>
        <v>0.288310904574859</v>
      </c>
    </row>
    <row r="15" customFormat="false" ht="15" hidden="false" customHeight="false" outlineLevel="0" collapsed="false">
      <c r="A15" s="5" t="s">
        <v>28</v>
      </c>
      <c r="B15" s="5" t="s">
        <v>30</v>
      </c>
      <c r="C15" s="6" t="n">
        <v>53</v>
      </c>
      <c r="D15" s="7" t="n">
        <v>564379</v>
      </c>
      <c r="E15" s="7" t="n">
        <v>148887.33</v>
      </c>
      <c r="F15" s="8" t="n">
        <f aca="false">IF(D15=0,0,E15/D15)</f>
        <v>0.263807352860401</v>
      </c>
    </row>
    <row r="16" customFormat="false" ht="15" hidden="false" customHeight="false" outlineLevel="0" collapsed="false">
      <c r="A16" s="9" t="s">
        <v>28</v>
      </c>
      <c r="B16" s="9" t="s">
        <v>31</v>
      </c>
      <c r="C16" s="10" t="n">
        <v>47</v>
      </c>
      <c r="D16" s="11" t="n">
        <v>521028.11</v>
      </c>
      <c r="E16" s="11" t="n">
        <v>148937.12</v>
      </c>
      <c r="F16" s="12" t="n">
        <f aca="false">IF(D16=0,0,E16/D16)</f>
        <v>0.285852369846226</v>
      </c>
    </row>
    <row r="17" customFormat="false" ht="15" hidden="false" customHeight="false" outlineLevel="0" collapsed="false">
      <c r="A17" s="5" t="s">
        <v>28</v>
      </c>
      <c r="B17" s="5" t="s">
        <v>32</v>
      </c>
      <c r="C17" s="6" t="n">
        <v>47</v>
      </c>
      <c r="D17" s="7" t="n">
        <v>408860.2</v>
      </c>
      <c r="E17" s="7" t="n">
        <v>127728.33</v>
      </c>
      <c r="F17" s="8" t="n">
        <f aca="false">IF(D17=0,0,E17/D17)</f>
        <v>0.312400986938812</v>
      </c>
    </row>
    <row r="18" customFormat="false" ht="15" hidden="false" customHeight="false" outlineLevel="0" collapsed="false">
      <c r="A18" s="13" t="s">
        <v>12</v>
      </c>
      <c r="B18" s="17"/>
      <c r="C18" s="14" t="n">
        <f aca="false">SUM(C5:C17)</f>
        <v>602</v>
      </c>
      <c r="D18" s="15" t="n">
        <f aca="false">SUM(D5:D17)</f>
        <v>5928390.67</v>
      </c>
      <c r="E18" s="15" t="n">
        <f aca="false">SUM(E5:E17)</f>
        <v>1691455.65</v>
      </c>
      <c r="F18" s="16" t="n">
        <f aca="false">IF(D18=0,0,E18/D18)</f>
        <v>0.285314471355512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</cols>
  <sheetData>
    <row r="1" customFormat="false" ht="16.15" hidden="false" customHeight="false" outlineLevel="0" collapsed="false">
      <c r="A1" s="2" t="s">
        <v>33</v>
      </c>
    </row>
    <row r="2" customFormat="false" ht="15" hidden="false" customHeight="false" outlineLevel="0" collapsed="false">
      <c r="A2" s="3" t="s">
        <v>34</v>
      </c>
    </row>
    <row r="4" customFormat="false" ht="15" hidden="false" customHeight="false" outlineLevel="0" collapsed="false">
      <c r="A4" s="4" t="s">
        <v>35</v>
      </c>
      <c r="B4" s="4" t="s">
        <v>36</v>
      </c>
    </row>
    <row r="5" customFormat="false" ht="15" hidden="false" customHeight="false" outlineLevel="0" collapsed="false">
      <c r="A5" s="5" t="s">
        <v>37</v>
      </c>
      <c r="B5" s="6" t="n">
        <v>242</v>
      </c>
    </row>
    <row r="6" customFormat="false" ht="15" hidden="false" customHeight="false" outlineLevel="0" collapsed="false">
      <c r="A6" s="9" t="s">
        <v>38</v>
      </c>
      <c r="B6" s="10" t="n">
        <v>223</v>
      </c>
    </row>
    <row r="7" customFormat="false" ht="15" hidden="false" customHeight="false" outlineLevel="0" collapsed="false">
      <c r="A7" s="5" t="s">
        <v>39</v>
      </c>
      <c r="B7" s="6" t="n">
        <v>222</v>
      </c>
    </row>
    <row r="8" customFormat="false" ht="15" hidden="false" customHeight="false" outlineLevel="0" collapsed="false">
      <c r="A8" s="9" t="s">
        <v>40</v>
      </c>
      <c r="B8" s="10" t="n">
        <v>204</v>
      </c>
    </row>
    <row r="9" customFormat="false" ht="15" hidden="false" customHeight="false" outlineLevel="0" collapsed="false">
      <c r="A9" s="5" t="s">
        <v>11</v>
      </c>
      <c r="B9" s="6" t="n">
        <v>21</v>
      </c>
    </row>
    <row r="10" customFormat="false" ht="15" hidden="false" customHeight="false" outlineLevel="0" collapsed="false">
      <c r="A10" s="13" t="s">
        <v>12</v>
      </c>
      <c r="B10" s="14" t="n">
        <f aca="false">SUM(B5:B9)</f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16.15" hidden="false" customHeight="false" outlineLevel="0" collapsed="false">
      <c r="A1" s="2" t="s">
        <v>41</v>
      </c>
    </row>
    <row r="2" customFormat="false" ht="15" hidden="false" customHeight="false" outlineLevel="0" collapsed="false">
      <c r="A2" s="3" t="s">
        <v>42</v>
      </c>
    </row>
    <row r="4" customFormat="false" ht="15" hidden="false" customHeight="false" outlineLevel="0" collapsed="false">
      <c r="A4" s="4" t="s">
        <v>43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44</v>
      </c>
      <c r="B5" s="6" t="n">
        <v>158</v>
      </c>
      <c r="C5" s="7" t="n">
        <v>1647879.15</v>
      </c>
      <c r="D5" s="7" t="n">
        <v>461714.32</v>
      </c>
      <c r="E5" s="8" t="n">
        <f aca="false">IF(C5=0,0,D5/C5)</f>
        <v>0.28018700279083</v>
      </c>
    </row>
    <row r="6" customFormat="false" ht="15" hidden="false" customHeight="false" outlineLevel="0" collapsed="false">
      <c r="A6" s="9" t="s">
        <v>45</v>
      </c>
      <c r="B6" s="10" t="n">
        <v>162</v>
      </c>
      <c r="C6" s="11" t="n">
        <v>1544852.54</v>
      </c>
      <c r="D6" s="11" t="n">
        <v>454790.65</v>
      </c>
      <c r="E6" s="12" t="n">
        <f aca="false">IF(C6=0,0,D6/C6)</f>
        <v>0.294390977924663</v>
      </c>
    </row>
    <row r="7" customFormat="false" ht="15" hidden="false" customHeight="false" outlineLevel="0" collapsed="false">
      <c r="A7" s="5" t="s">
        <v>46</v>
      </c>
      <c r="B7" s="6" t="n">
        <v>147</v>
      </c>
      <c r="C7" s="7" t="n">
        <v>1424749.49</v>
      </c>
      <c r="D7" s="7" t="n">
        <v>390074.19</v>
      </c>
      <c r="E7" s="8" t="n">
        <f aca="false">IF(C7=0,0,D7/C7)</f>
        <v>0.273784404021791</v>
      </c>
    </row>
    <row r="8" customFormat="false" ht="15" hidden="false" customHeight="false" outlineLevel="0" collapsed="false">
      <c r="A8" s="9" t="s">
        <v>47</v>
      </c>
      <c r="B8" s="10" t="n">
        <v>135</v>
      </c>
      <c r="C8" s="11" t="n">
        <v>1310909.5</v>
      </c>
      <c r="D8" s="11" t="n">
        <v>384876.5</v>
      </c>
      <c r="E8" s="12" t="n">
        <f aca="false">IF(C8=0,0,D8/C8)</f>
        <v>0.293595019335812</v>
      </c>
    </row>
    <row r="9" customFormat="false" ht="15" hidden="false" customHeight="false" outlineLevel="0" collapsed="false">
      <c r="A9" s="13" t="s">
        <v>12</v>
      </c>
      <c r="B9" s="14" t="n">
        <f aca="false">SUM(B5:B8)</f>
        <v>602</v>
      </c>
      <c r="C9" s="15" t="n">
        <f aca="false">SUM(C5:C8)</f>
        <v>5928390.68</v>
      </c>
      <c r="D9" s="15" t="n">
        <f aca="false">SUM(D5:D8)</f>
        <v>1691455.66</v>
      </c>
      <c r="E9" s="16" t="n">
        <f aca="false">IF(C9=0,0,D9/C9)</f>
        <v>0.285314472561043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6.15" hidden="false" customHeight="false" outlineLevel="0" collapsed="false">
      <c r="A1" s="2" t="s">
        <v>48</v>
      </c>
    </row>
    <row r="2" customFormat="false" ht="15" hidden="false" customHeight="false" outlineLevel="0" collapsed="false">
      <c r="A2" s="3" t="s">
        <v>49</v>
      </c>
    </row>
    <row r="4" customFormat="false" ht="15" hidden="false" customHeight="false" outlineLevel="0" collapsed="false">
      <c r="A4" s="4" t="s">
        <v>2</v>
      </c>
      <c r="B4" s="4" t="s">
        <v>50</v>
      </c>
      <c r="C4" s="4" t="s">
        <v>51</v>
      </c>
      <c r="D4" s="4" t="s">
        <v>52</v>
      </c>
      <c r="E4" s="4" t="s">
        <v>53</v>
      </c>
    </row>
    <row r="5" customFormat="false" ht="15" hidden="false" customHeight="false" outlineLevel="0" collapsed="false">
      <c r="A5" s="5" t="s">
        <v>9</v>
      </c>
      <c r="B5" s="6" t="n">
        <v>14</v>
      </c>
      <c r="C5" s="6" t="n">
        <v>19</v>
      </c>
      <c r="D5" s="6" t="n">
        <v>13</v>
      </c>
      <c r="E5" s="6" t="n">
        <f aca="false">SUM(B5:D5)</f>
        <v>46</v>
      </c>
    </row>
    <row r="6" customFormat="false" ht="15" hidden="false" customHeight="false" outlineLevel="0" collapsed="false">
      <c r="A6" s="9" t="s">
        <v>10</v>
      </c>
      <c r="B6" s="10" t="n">
        <v>20</v>
      </c>
      <c r="C6" s="10" t="n">
        <v>23</v>
      </c>
      <c r="D6" s="10" t="n">
        <v>20</v>
      </c>
      <c r="E6" s="10" t="n">
        <f aca="false">SUM(B6:D6)</f>
        <v>63</v>
      </c>
    </row>
    <row r="7" customFormat="false" ht="15" hidden="false" customHeight="false" outlineLevel="0" collapsed="false">
      <c r="A7" s="5" t="s">
        <v>7</v>
      </c>
      <c r="B7" s="6" t="n">
        <v>20</v>
      </c>
      <c r="C7" s="6" t="n">
        <v>17</v>
      </c>
      <c r="D7" s="6" t="n">
        <v>20</v>
      </c>
      <c r="E7" s="6" t="n">
        <f aca="false">SUM(B7:D7)</f>
        <v>57</v>
      </c>
    </row>
    <row r="8" customFormat="false" ht="15" hidden="false" customHeight="false" outlineLevel="0" collapsed="false">
      <c r="A8" s="9" t="s">
        <v>11</v>
      </c>
      <c r="B8" s="10" t="n">
        <v>3</v>
      </c>
      <c r="C8" s="10" t="n">
        <v>0</v>
      </c>
      <c r="D8" s="10" t="n">
        <v>2</v>
      </c>
      <c r="E8" s="10" t="n">
        <f aca="false">SUM(B8:D8)</f>
        <v>5</v>
      </c>
    </row>
    <row r="9" customFormat="false" ht="15" hidden="false" customHeight="false" outlineLevel="0" collapsed="false">
      <c r="A9" s="5" t="s">
        <v>8</v>
      </c>
      <c r="B9" s="6" t="n">
        <v>14</v>
      </c>
      <c r="C9" s="6" t="n">
        <v>17</v>
      </c>
      <c r="D9" s="6" t="n">
        <v>14</v>
      </c>
      <c r="E9" s="6" t="n">
        <f aca="false">SUM(B9:D9)</f>
        <v>45</v>
      </c>
    </row>
    <row r="10" customFormat="false" ht="15" hidden="false" customHeight="false" outlineLevel="0" collapsed="false">
      <c r="A10" s="13" t="s">
        <v>12</v>
      </c>
      <c r="B10" s="14" t="n">
        <f aca="false">SUM(B5:B9)</f>
        <v>71</v>
      </c>
      <c r="C10" s="14" t="n">
        <f aca="false">SUM(C5:C9)</f>
        <v>76</v>
      </c>
      <c r="D10" s="14" t="n">
        <f aca="false">SUM(D5:D9)</f>
        <v>69</v>
      </c>
      <c r="E10" s="14" t="n">
        <f aca="false">SUM(E5:E9)</f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6"/>
  </cols>
  <sheetData>
    <row r="1" customFormat="false" ht="16.15" hidden="false" customHeight="false" outlineLevel="0" collapsed="false">
      <c r="A1" s="2" t="s">
        <v>54</v>
      </c>
    </row>
    <row r="2" customFormat="false" ht="15" hidden="false" customHeight="false" outlineLevel="0" collapsed="false">
      <c r="A2" s="3" t="s">
        <v>55</v>
      </c>
    </row>
    <row r="4" customFormat="false" ht="15" hidden="false" customHeight="false" outlineLevel="0" collapsed="false">
      <c r="A4" s="4" t="s">
        <v>56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57</v>
      </c>
      <c r="B5" s="6" t="n">
        <v>28</v>
      </c>
      <c r="C5" s="7" t="n">
        <v>243263.09</v>
      </c>
      <c r="D5" s="7" t="n">
        <v>79235.61</v>
      </c>
    </row>
    <row r="6" customFormat="false" ht="15" hidden="false" customHeight="false" outlineLevel="0" collapsed="false">
      <c r="A6" s="9" t="s">
        <v>58</v>
      </c>
      <c r="B6" s="10" t="n">
        <v>28</v>
      </c>
      <c r="C6" s="11" t="n">
        <v>258039.49</v>
      </c>
      <c r="D6" s="11" t="n">
        <v>70440.92</v>
      </c>
    </row>
    <row r="7" customFormat="false" ht="15" hidden="false" customHeight="false" outlineLevel="0" collapsed="false">
      <c r="A7" s="5" t="s">
        <v>59</v>
      </c>
      <c r="B7" s="6" t="n">
        <v>27</v>
      </c>
      <c r="C7" s="7" t="n">
        <v>244593.49</v>
      </c>
      <c r="D7" s="7" t="n">
        <v>72382.43</v>
      </c>
    </row>
    <row r="8" customFormat="false" ht="15" hidden="false" customHeight="false" outlineLevel="0" collapsed="false">
      <c r="A8" s="9" t="s">
        <v>60</v>
      </c>
      <c r="B8" s="10" t="n">
        <v>21</v>
      </c>
      <c r="C8" s="11" t="n">
        <v>241541.5</v>
      </c>
      <c r="D8" s="11" t="n">
        <v>67927.84</v>
      </c>
    </row>
    <row r="9" customFormat="false" ht="15" hidden="false" customHeight="false" outlineLevel="0" collapsed="false">
      <c r="A9" s="5" t="s">
        <v>61</v>
      </c>
      <c r="B9" s="6" t="n">
        <v>34</v>
      </c>
      <c r="C9" s="7" t="n">
        <v>341956.72</v>
      </c>
      <c r="D9" s="7" t="n">
        <v>73921.67</v>
      </c>
    </row>
    <row r="10" customFormat="false" ht="15" hidden="false" customHeight="false" outlineLevel="0" collapsed="false">
      <c r="A10" s="9" t="s">
        <v>62</v>
      </c>
      <c r="B10" s="10" t="n">
        <v>33</v>
      </c>
      <c r="C10" s="11" t="n">
        <v>393278.77</v>
      </c>
      <c r="D10" s="11" t="n">
        <v>114362.41</v>
      </c>
    </row>
    <row r="11" customFormat="false" ht="15" hidden="false" customHeight="false" outlineLevel="0" collapsed="false">
      <c r="A11" s="5" t="s">
        <v>63</v>
      </c>
      <c r="B11" s="6" t="n">
        <v>27</v>
      </c>
      <c r="C11" s="7" t="n">
        <v>235720.3</v>
      </c>
      <c r="D11" s="7" t="n">
        <v>62651.65</v>
      </c>
    </row>
    <row r="12" customFormat="false" ht="15" hidden="false" customHeight="false" outlineLevel="0" collapsed="false">
      <c r="A12" s="9" t="s">
        <v>64</v>
      </c>
      <c r="B12" s="10" t="n">
        <v>30</v>
      </c>
      <c r="C12" s="11" t="n">
        <v>241428.67</v>
      </c>
      <c r="D12" s="11" t="n">
        <v>74723.4</v>
      </c>
    </row>
    <row r="13" customFormat="false" ht="15" hidden="false" customHeight="false" outlineLevel="0" collapsed="false">
      <c r="A13" s="5" t="s">
        <v>65</v>
      </c>
      <c r="B13" s="6" t="n">
        <v>23</v>
      </c>
      <c r="C13" s="7" t="n">
        <v>226234.26</v>
      </c>
      <c r="D13" s="7" t="n">
        <v>57228.04</v>
      </c>
    </row>
    <row r="14" customFormat="false" ht="15" hidden="false" customHeight="false" outlineLevel="0" collapsed="false">
      <c r="A14" s="9" t="s">
        <v>66</v>
      </c>
      <c r="B14" s="10" t="n">
        <v>30</v>
      </c>
      <c r="C14" s="11" t="n">
        <v>338359.12</v>
      </c>
      <c r="D14" s="11" t="n">
        <v>87410.91</v>
      </c>
    </row>
    <row r="15" customFormat="false" ht="15" hidden="false" customHeight="false" outlineLevel="0" collapsed="false">
      <c r="A15" s="5" t="s">
        <v>67</v>
      </c>
      <c r="B15" s="6" t="n">
        <v>23</v>
      </c>
      <c r="C15" s="7" t="n">
        <v>260061.65</v>
      </c>
      <c r="D15" s="7" t="n">
        <v>91770.35</v>
      </c>
    </row>
    <row r="16" customFormat="false" ht="15" hidden="false" customHeight="false" outlineLevel="0" collapsed="false">
      <c r="A16" s="9" t="s">
        <v>68</v>
      </c>
      <c r="B16" s="10" t="n">
        <v>24</v>
      </c>
      <c r="C16" s="11" t="n">
        <v>201157.16</v>
      </c>
      <c r="D16" s="11" t="n">
        <v>56327.19</v>
      </c>
    </row>
    <row r="17" customFormat="false" ht="15" hidden="false" customHeight="false" outlineLevel="0" collapsed="false">
      <c r="A17" s="5" t="s">
        <v>69</v>
      </c>
      <c r="B17" s="6" t="n">
        <v>27</v>
      </c>
      <c r="C17" s="7" t="n">
        <v>271616.32</v>
      </c>
      <c r="D17" s="7" t="n">
        <v>74778.66</v>
      </c>
    </row>
    <row r="18" customFormat="false" ht="15" hidden="false" customHeight="false" outlineLevel="0" collapsed="false">
      <c r="A18" s="9" t="s">
        <v>70</v>
      </c>
      <c r="B18" s="10" t="n">
        <v>39</v>
      </c>
      <c r="C18" s="11" t="n">
        <v>394995.72</v>
      </c>
      <c r="D18" s="11" t="n">
        <v>117043.43</v>
      </c>
    </row>
    <row r="19" customFormat="false" ht="15" hidden="false" customHeight="false" outlineLevel="0" collapsed="false">
      <c r="A19" s="5" t="s">
        <v>71</v>
      </c>
      <c r="B19" s="6" t="n">
        <v>27</v>
      </c>
      <c r="C19" s="7" t="n">
        <v>322614.29</v>
      </c>
      <c r="D19" s="7" t="n">
        <v>92228.47</v>
      </c>
    </row>
    <row r="20" customFormat="false" ht="15" hidden="false" customHeight="false" outlineLevel="0" collapsed="false">
      <c r="A20" s="9" t="s">
        <v>72</v>
      </c>
      <c r="B20" s="10" t="n">
        <v>35</v>
      </c>
      <c r="C20" s="11" t="n">
        <v>293107.4</v>
      </c>
      <c r="D20" s="11" t="n">
        <v>80559.25</v>
      </c>
    </row>
    <row r="21" customFormat="false" ht="15" hidden="false" customHeight="false" outlineLevel="0" collapsed="false">
      <c r="A21" s="5" t="s">
        <v>73</v>
      </c>
      <c r="B21" s="6" t="n">
        <v>24</v>
      </c>
      <c r="C21" s="7" t="n">
        <v>246177.85</v>
      </c>
      <c r="D21" s="7" t="n">
        <v>76545.45</v>
      </c>
    </row>
    <row r="22" customFormat="false" ht="15" hidden="false" customHeight="false" outlineLevel="0" collapsed="false">
      <c r="A22" s="9" t="s">
        <v>74</v>
      </c>
      <c r="B22" s="10" t="n">
        <v>27</v>
      </c>
      <c r="C22" s="11" t="n">
        <v>214021.24</v>
      </c>
      <c r="D22" s="11" t="n">
        <v>52523.61</v>
      </c>
    </row>
    <row r="23" customFormat="false" ht="15" hidden="false" customHeight="false" outlineLevel="0" collapsed="false">
      <c r="A23" s="5" t="s">
        <v>75</v>
      </c>
      <c r="B23" s="6" t="n">
        <v>23</v>
      </c>
      <c r="C23" s="7" t="n">
        <v>258764.04</v>
      </c>
      <c r="D23" s="7" t="n">
        <v>74288.21</v>
      </c>
    </row>
    <row r="24" customFormat="false" ht="15" hidden="false" customHeight="false" outlineLevel="0" collapsed="false">
      <c r="A24" s="9" t="s">
        <v>76</v>
      </c>
      <c r="B24" s="10" t="n">
        <v>33</v>
      </c>
      <c r="C24" s="11" t="n">
        <v>262335.28</v>
      </c>
      <c r="D24" s="11" t="n">
        <v>82704.96</v>
      </c>
    </row>
    <row r="25" customFormat="false" ht="15" hidden="false" customHeight="false" outlineLevel="0" collapsed="false">
      <c r="A25" s="5" t="s">
        <v>77</v>
      </c>
      <c r="B25" s="6" t="n">
        <v>29</v>
      </c>
      <c r="C25" s="7" t="n">
        <v>317689.5</v>
      </c>
      <c r="D25" s="7" t="n">
        <v>95438.91</v>
      </c>
    </row>
    <row r="26" customFormat="false" ht="15" hidden="false" customHeight="false" outlineLevel="0" collapsed="false">
      <c r="A26" s="9" t="s">
        <v>78</v>
      </c>
      <c r="B26" s="10" t="n">
        <v>10</v>
      </c>
      <c r="C26" s="11" t="n">
        <v>121434.8</v>
      </c>
      <c r="D26" s="11" t="n">
        <v>36962.27</v>
      </c>
    </row>
    <row r="27" customFormat="false" ht="15" hidden="false" customHeight="false" outlineLevel="0" collapsed="false">
      <c r="A27" s="13" t="s">
        <v>12</v>
      </c>
      <c r="B27" s="14" t="n">
        <f aca="false">SUM(B5:B26)</f>
        <v>602</v>
      </c>
      <c r="C27" s="15" t="n">
        <f aca="false">SUM(C5:C26)</f>
        <v>5928390.66</v>
      </c>
      <c r="D27" s="15" t="n">
        <f aca="false">SUM(D5:D26)</f>
        <v>1691455.64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2026-06-24T04:05:09Z</dcterms:created>
  <dc:creator>openpyxl</dc:creator>
  <dc:description/>
  <dc:language>en-US</dc:language>
  <cp:lastModifiedBy/>
  <dcterms:modified xsi:type="dcterms:W3CDTF">2026-06-24T04:05:10Z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